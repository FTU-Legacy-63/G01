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aaa529149bc1b3/Documents/"/>
    </mc:Choice>
  </mc:AlternateContent>
  <xr:revisionPtr revIDLastSave="348" documentId="8_{CD08C796-5870-40D4-8D01-BAC0026BC5BE}" xr6:coauthVersionLast="47" xr6:coauthVersionMax="47" xr10:uidLastSave="{61C76818-6889-4CE8-8BFC-2EDBE329AB64}"/>
  <bookViews>
    <workbookView xWindow="-108" yWindow="-108" windowWidth="23256" windowHeight="13176" xr2:uid="{0116F7FB-FB6C-42ED-8F61-FF147D36F922}"/>
  </bookViews>
  <sheets>
    <sheet name="Player Statements" sheetId="4" r:id="rId1"/>
    <sheet name="Sheet1" sheetId="1" state="hidden" r:id="rId2"/>
    <sheet name="Fictional Co" sheetId="2" r:id="rId3"/>
    <sheet name="Source C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10" i="4"/>
  <c r="C11" i="4"/>
  <c r="B4" i="4"/>
  <c r="B5" i="4"/>
  <c r="B6" i="4"/>
  <c r="B7" i="4"/>
  <c r="B8" i="4"/>
  <c r="B9" i="4"/>
  <c r="B10" i="4"/>
  <c r="B12" i="4" s="1"/>
  <c r="B11" i="4"/>
  <c r="F4" i="4"/>
  <c r="K4" i="4"/>
  <c r="K7" i="4" s="1"/>
  <c r="K5" i="4"/>
  <c r="K6" i="4"/>
  <c r="K8" i="4"/>
  <c r="K9" i="4"/>
  <c r="K11" i="4"/>
  <c r="K13" i="4"/>
  <c r="J4" i="4"/>
  <c r="J5" i="4"/>
  <c r="J6" i="4"/>
  <c r="J8" i="4"/>
  <c r="J9" i="4"/>
  <c r="J11" i="4"/>
  <c r="J13" i="4"/>
  <c r="G4" i="4"/>
  <c r="G5" i="4"/>
  <c r="G6" i="4"/>
  <c r="G8" i="4"/>
  <c r="G10" i="4"/>
  <c r="G12" i="4" s="1"/>
  <c r="G14" i="4" s="1"/>
  <c r="G11" i="4"/>
  <c r="G13" i="4"/>
  <c r="F5" i="4"/>
  <c r="F6" i="4"/>
  <c r="F8" i="4"/>
  <c r="F10" i="4"/>
  <c r="F12" i="4" s="1"/>
  <c r="F14" i="4" s="1"/>
  <c r="F11" i="4"/>
  <c r="F13" i="4"/>
  <c r="K10" i="2"/>
  <c r="G26" i="2"/>
  <c r="H24" i="2"/>
  <c r="G24" i="2"/>
  <c r="L22" i="2"/>
  <c r="K22" i="2"/>
  <c r="H21" i="2"/>
  <c r="H25" i="2" s="1"/>
  <c r="G21" i="2"/>
  <c r="G25" i="2" s="1"/>
  <c r="K18" i="2"/>
  <c r="L15" i="2"/>
  <c r="L14" i="2"/>
  <c r="L18" i="2" s="1"/>
  <c r="G13" i="2"/>
  <c r="L11" i="2"/>
  <c r="L10" i="2"/>
  <c r="L9" i="2"/>
  <c r="D6" i="2"/>
  <c r="D11" i="2" s="1"/>
  <c r="D14" i="2" s="1"/>
  <c r="D16" i="2" s="1"/>
  <c r="L4" i="2" s="1"/>
  <c r="L12" i="2" s="1"/>
  <c r="L24" i="2" s="1"/>
  <c r="C6" i="2"/>
  <c r="C11" i="2" s="1"/>
  <c r="C14" i="2" s="1"/>
  <c r="C16" i="2" s="1"/>
  <c r="K4" i="2" s="1"/>
  <c r="K12" i="2" s="1"/>
  <c r="K24" i="2" s="1"/>
  <c r="G27" i="1"/>
  <c r="L30" i="1"/>
  <c r="C11" i="1"/>
  <c r="G26" i="1"/>
  <c r="L29" i="1"/>
  <c r="L31" i="1"/>
  <c r="L14" i="1"/>
  <c r="L18" i="1" s="1"/>
  <c r="L15" i="1"/>
  <c r="L9" i="1"/>
  <c r="L10" i="1"/>
  <c r="L11" i="1"/>
  <c r="K22" i="1"/>
  <c r="L22" i="1"/>
  <c r="K18" i="1"/>
  <c r="L12" i="1"/>
  <c r="L4" i="1"/>
  <c r="G25" i="1"/>
  <c r="H25" i="1"/>
  <c r="G24" i="1"/>
  <c r="H24" i="1"/>
  <c r="G21" i="1"/>
  <c r="H21" i="1"/>
  <c r="G14" i="1"/>
  <c r="G13" i="1"/>
  <c r="H13" i="1"/>
  <c r="H14" i="1" s="1"/>
  <c r="D16" i="1"/>
  <c r="C14" i="1"/>
  <c r="C16" i="1" s="1"/>
  <c r="K4" i="1" s="1"/>
  <c r="D14" i="1"/>
  <c r="D11" i="1"/>
  <c r="C6" i="1"/>
  <c r="D6" i="1"/>
  <c r="H26" i="1"/>
  <c r="K10" i="4" l="1"/>
  <c r="J10" i="4"/>
  <c r="G7" i="4"/>
  <c r="G9" i="4" s="1"/>
  <c r="J7" i="4"/>
  <c r="F7" i="4"/>
  <c r="F9" i="4" s="1"/>
  <c r="C9" i="4"/>
  <c r="C12" i="4" s="1"/>
  <c r="K12" i="4"/>
  <c r="K14" i="4" s="1"/>
  <c r="J12" i="4"/>
  <c r="J14" i="4" s="1"/>
  <c r="L29" i="2"/>
  <c r="H26" i="2" s="1"/>
  <c r="L31" i="2"/>
  <c r="H13" i="2" s="1"/>
  <c r="H14" i="2" s="1"/>
  <c r="G14" i="2"/>
  <c r="K26" i="2"/>
  <c r="G4" i="2" s="1"/>
  <c r="G27" i="2"/>
  <c r="K12" i="1"/>
  <c r="K24" i="1" s="1"/>
  <c r="K26" i="1" s="1"/>
  <c r="L24" i="1"/>
  <c r="G10" i="2" l="1"/>
  <c r="G15" i="2" s="1"/>
  <c r="L25" i="2"/>
  <c r="L26" i="2" s="1"/>
  <c r="H4" i="2" s="1"/>
  <c r="H10" i="2" s="1"/>
  <c r="H15" i="2" s="1"/>
  <c r="L30" i="2"/>
  <c r="H27" i="2" s="1"/>
  <c r="H28" i="2" s="1"/>
  <c r="H29" i="2" s="1"/>
  <c r="G28" i="2"/>
  <c r="G29" i="2" s="1"/>
  <c r="G28" i="1"/>
  <c r="G29" i="1" s="1"/>
  <c r="H27" i="1"/>
  <c r="H28" i="1" s="1"/>
  <c r="H29" i="1" s="1"/>
  <c r="G4" i="1"/>
  <c r="G10" i="1"/>
  <c r="L25" i="1"/>
  <c r="L26" i="1" s="1"/>
  <c r="H4" i="1" s="1"/>
  <c r="H10" i="1" s="1"/>
  <c r="H15" i="1" s="1"/>
  <c r="G15" i="1"/>
</calcChain>
</file>

<file path=xl/sharedStrings.xml><?xml version="1.0" encoding="utf-8"?>
<sst xmlns="http://schemas.openxmlformats.org/spreadsheetml/2006/main" count="237" uniqueCount="84">
  <si>
    <t>Reported item</t>
  </si>
  <si>
    <t>INCOME STATEMENT</t>
  </si>
  <si>
    <t>Revenue</t>
  </si>
  <si>
    <t>Cost of revenues</t>
  </si>
  <si>
    <t>Gross profit / (loss)</t>
  </si>
  <si>
    <t>Research and development, net</t>
  </si>
  <si>
    <t>Sales and marketing</t>
  </si>
  <si>
    <t>General and administrative</t>
  </si>
  <si>
    <t>Other income</t>
  </si>
  <si>
    <t>Operating profit / (loss)</t>
  </si>
  <si>
    <t>Finance expense</t>
  </si>
  <si>
    <t>Finance income</t>
  </si>
  <si>
    <t>Profit / (loss) before tax</t>
  </si>
  <si>
    <t>Income tax expense</t>
  </si>
  <si>
    <t>Net profit / (loss)</t>
  </si>
  <si>
    <t>BALANCE SHEET</t>
  </si>
  <si>
    <t>Cash and cash equivalents</t>
  </si>
  <si>
    <t>Restricted deposits, current</t>
  </si>
  <si>
    <t>Short-term deposits</t>
  </si>
  <si>
    <t>Trade receivables</t>
  </si>
  <si>
    <t>Other receivables</t>
  </si>
  <si>
    <t>Inventory</t>
  </si>
  <si>
    <t>Total current assets</t>
  </si>
  <si>
    <t>Restricted deposits, non-current</t>
  </si>
  <si>
    <t>Right-of-use assets</t>
  </si>
  <si>
    <t>Property and equipment, net</t>
  </si>
  <si>
    <t>Total non-current assets</t>
  </si>
  <si>
    <t>Total assets</t>
  </si>
  <si>
    <t>Trade payables</t>
  </si>
  <si>
    <t>Employee payables</t>
  </si>
  <si>
    <t>Operating lease liability, current</t>
  </si>
  <si>
    <t>Other payables</t>
  </si>
  <si>
    <t>Total current liabilities</t>
  </si>
  <si>
    <t>Operating lease liability, non-current</t>
  </si>
  <si>
    <t>Convertible notes including accrued interest</t>
  </si>
  <si>
    <t>Total non-current liabilities</t>
  </si>
  <si>
    <t>Total liabilities</t>
  </si>
  <si>
    <t>Paid-in capital at reporting precision</t>
  </si>
  <si>
    <t>Accumulated deficit</t>
  </si>
  <si>
    <t>Total equity</t>
  </si>
  <si>
    <t>Total liabilities and equity</t>
  </si>
  <si>
    <t>CASH FLOW STATEMENT</t>
  </si>
  <si>
    <t>Net loss</t>
  </si>
  <si>
    <t>Depreciation</t>
  </si>
  <si>
    <t>Non-cash note interest</t>
  </si>
  <si>
    <t>Right-of-use and lease changes, net</t>
  </si>
  <si>
    <t>Share-based compensation</t>
  </si>
  <si>
    <t>Change in trade and other receivables</t>
  </si>
  <si>
    <t>Change in inventory</t>
  </si>
  <si>
    <t>Change in operating payables</t>
  </si>
  <si>
    <t>Net cash from / (used in) operations</t>
  </si>
  <si>
    <t>Restricted deposit cash flows</t>
  </si>
  <si>
    <t>Short-term deposit release</t>
  </si>
  <si>
    <t>Acquisition of fixed assets</t>
  </si>
  <si>
    <t>Equipment sale proceeds</t>
  </si>
  <si>
    <t>Net cash from investing</t>
  </si>
  <si>
    <t>Convertible note issuance proceeds</t>
  </si>
  <si>
    <t>Option exercise proceeds</t>
  </si>
  <si>
    <t>Net cash from financing</t>
  </si>
  <si>
    <t>Net change in cash</t>
  </si>
  <si>
    <t>Opening cash</t>
  </si>
  <si>
    <t>Closing cash</t>
  </si>
  <si>
    <t>Opening paid-in capital</t>
  </si>
  <si>
    <t>Opening accumulated deficit</t>
  </si>
  <si>
    <t>Opening net property and equipment</t>
  </si>
  <si>
    <t>Net book value of disposals</t>
  </si>
  <si>
    <t>#Changelog</t>
  </si>
  <si>
    <t>Cost of revenues adjusted to reflect weak gross margins</t>
  </si>
  <si>
    <t>R&amp;D and sales spending increased to support expansion</t>
  </si>
  <si>
    <t>Inventory investment increased ahead of growth</t>
  </si>
  <si>
    <t>Capital expenditure increased, intensifying cash burn</t>
  </si>
  <si>
    <t>Capital expenditure</t>
  </si>
  <si>
    <t>Current liabilities</t>
  </si>
  <si>
    <t>R&amp;D and sales spending</t>
  </si>
  <si>
    <t>Other current assets</t>
  </si>
  <si>
    <t>Non-current assets</t>
  </si>
  <si>
    <t>Non-current liabilities</t>
  </si>
  <si>
    <t>Non-cash adjustments</t>
  </si>
  <si>
    <t>Working-capital changes</t>
  </si>
  <si>
    <t>Other investing cash flows</t>
  </si>
  <si>
    <t>Other operating expenses, net</t>
  </si>
  <si>
    <t>Net finance cost</t>
  </si>
  <si>
    <t xml:space="preserve"> PLAYER STATEMENTS</t>
  </si>
  <si>
    <t>FICTIONAL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</si>
</sst>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;&quot;-&quot;"/>
    <numFmt numFmtId="168" formatCode="#,##0.0;[Red]\(#,##0.0\);\-"/>
  </numFmts>
  <fonts count="12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14"/>
      <color rgb="FFFFFFFF"/>
      <name val="Aptos Narrow"/>
      <family val="2"/>
      <scheme val="minor"/>
    </font>
    <font>
      <sz val="10"/>
      <color theme="1"/>
      <name val="Aptos"/>
      <family val="2"/>
    </font>
    <font>
      <b/>
      <sz val="17"/>
      <color rgb="FFFFFFFF"/>
      <name val="Aptos"/>
      <family val="2"/>
    </font>
    <font>
      <i/>
      <sz val="10"/>
      <color rgb="FF5B6573"/>
      <name val="Aptos"/>
      <family val="2"/>
    </font>
    <font>
      <b/>
      <sz val="10"/>
      <color rgb="FF17365D"/>
      <name val="Aptos"/>
      <family val="2"/>
    </font>
    <font>
      <b/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7EDF4"/>
      </patternFill>
    </fill>
    <fill>
      <patternFill patternType="solid">
        <fgColor rgb="FF17365D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997A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0" fillId="0" borderId="0" xfId="0" applyAlignment="1"/>
    <xf numFmtId="0" fontId="7" fillId="0" borderId="0" xfId="0" applyFont="1"/>
    <xf numFmtId="0" fontId="8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0" borderId="0" xfId="0" applyFont="1"/>
    <xf numFmtId="0" fontId="10" fillId="5" borderId="0" xfId="0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6" borderId="0" xfId="0" applyFont="1" applyFill="1"/>
    <xf numFmtId="168" fontId="7" fillId="6" borderId="0" xfId="0" applyNumberFormat="1" applyFont="1" applyFill="1" applyAlignment="1">
      <alignment horizontal="right"/>
    </xf>
    <xf numFmtId="0" fontId="11" fillId="6" borderId="0" xfId="0" applyFont="1" applyFill="1"/>
    <xf numFmtId="168" fontId="11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DD6C-2F24-442D-A61A-8C0A5A99DF82}">
  <dimension ref="A1:K19"/>
  <sheetViews>
    <sheetView showGridLines="0" tabSelected="1" workbookViewId="0">
      <selection activeCell="E17" sqref="E17"/>
    </sheetView>
  </sheetViews>
  <sheetFormatPr defaultRowHeight="15" x14ac:dyDescent="0.25"/>
  <cols>
    <col min="1" max="1" width="34.28515625" customWidth="1"/>
    <col min="2" max="3" width="13.28515625" customWidth="1"/>
    <col min="4" max="4" width="3.85546875" customWidth="1"/>
    <col min="5" max="5" width="32.42578125" customWidth="1"/>
    <col min="6" max="7" width="13.28515625" customWidth="1"/>
    <col min="8" max="8" width="3.85546875" customWidth="1"/>
    <col min="9" max="9" width="40" customWidth="1"/>
    <col min="10" max="11" width="13.28515625" customWidth="1"/>
  </cols>
  <sheetData>
    <row r="1" spans="1:11" ht="22.5" x14ac:dyDescent="0.35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5" t="s">
        <v>1</v>
      </c>
      <c r="B3" s="17">
        <v>2024</v>
      </c>
      <c r="C3" s="17">
        <v>2025</v>
      </c>
      <c r="D3" s="12"/>
      <c r="E3" s="15" t="s">
        <v>15</v>
      </c>
      <c r="F3" s="17">
        <v>2024</v>
      </c>
      <c r="G3" s="17">
        <v>2025</v>
      </c>
      <c r="H3" s="12"/>
      <c r="I3" s="15" t="s">
        <v>41</v>
      </c>
      <c r="J3" s="17">
        <v>2024</v>
      </c>
      <c r="K3" s="17">
        <v>2025</v>
      </c>
    </row>
    <row r="4" spans="1:11" x14ac:dyDescent="0.25">
      <c r="A4" s="21" t="s">
        <v>2</v>
      </c>
      <c r="B4" s="22">
        <f>'Fictional Co'!C4</f>
        <v>56</v>
      </c>
      <c r="C4" s="22">
        <f>'Fictional Co'!D4</f>
        <v>222</v>
      </c>
      <c r="D4" s="12"/>
      <c r="E4" s="12" t="s">
        <v>16</v>
      </c>
      <c r="F4" s="18">
        <f>'Fictional Co'!G4</f>
        <v>2949</v>
      </c>
      <c r="G4" s="18">
        <f>'Fictional Co'!H4</f>
        <v>42</v>
      </c>
      <c r="H4" s="12"/>
      <c r="I4" s="12" t="s">
        <v>42</v>
      </c>
      <c r="J4" s="18">
        <f>'Fictional Co'!K4</f>
        <v>-4490</v>
      </c>
      <c r="K4" s="18">
        <f>'Fictional Co'!L4</f>
        <v>-4875</v>
      </c>
    </row>
    <row r="5" spans="1:11" x14ac:dyDescent="0.25">
      <c r="A5" s="21" t="s">
        <v>3</v>
      </c>
      <c r="B5" s="22">
        <f>'Fictional Co'!C5</f>
        <v>300</v>
      </c>
      <c r="C5" s="22">
        <f>'Fictional Co'!D5</f>
        <v>552</v>
      </c>
      <c r="D5" s="12"/>
      <c r="E5" s="12" t="s">
        <v>21</v>
      </c>
      <c r="F5" s="18">
        <f>'Fictional Co'!G9</f>
        <v>110</v>
      </c>
      <c r="G5" s="18">
        <f>'Fictional Co'!H9</f>
        <v>250</v>
      </c>
      <c r="H5" s="12"/>
      <c r="I5" s="12" t="s">
        <v>77</v>
      </c>
      <c r="J5" s="18">
        <f>SUM('Fictional Co'!K5:K8)</f>
        <v>893</v>
      </c>
      <c r="K5" s="18">
        <f>SUM('Fictional Co'!L5:L8)</f>
        <v>935</v>
      </c>
    </row>
    <row r="6" spans="1:11" x14ac:dyDescent="0.25">
      <c r="A6" s="23" t="s">
        <v>4</v>
      </c>
      <c r="B6" s="24">
        <f>B4-B5</f>
        <v>-244</v>
      </c>
      <c r="C6" s="24">
        <f>C4-C5</f>
        <v>-330</v>
      </c>
      <c r="D6" s="12"/>
      <c r="E6" s="12" t="s">
        <v>74</v>
      </c>
      <c r="F6" s="18">
        <f>'Fictional Co'!G10-'Fictional Co'!G4-'Fictional Co'!G9</f>
        <v>2481</v>
      </c>
      <c r="G6" s="18">
        <f>'Fictional Co'!H10-'Fictional Co'!H4-'Fictional Co'!H9</f>
        <v>561</v>
      </c>
      <c r="H6" s="12"/>
      <c r="I6" s="12" t="s">
        <v>78</v>
      </c>
      <c r="J6" s="18">
        <f>SUM('Fictional Co'!K9:K11)</f>
        <v>-112</v>
      </c>
      <c r="K6" s="18">
        <f>SUM('Fictional Co'!L9:L11)</f>
        <v>-258</v>
      </c>
    </row>
    <row r="7" spans="1:11" x14ac:dyDescent="0.25">
      <c r="A7" s="21" t="s">
        <v>73</v>
      </c>
      <c r="B7" s="22">
        <f>SUM('Fictional Co'!C7:C8)</f>
        <v>2150</v>
      </c>
      <c r="C7" s="22">
        <f>SUM('Fictional Co'!D7:D8)</f>
        <v>2600</v>
      </c>
      <c r="D7" s="12"/>
      <c r="E7" s="16" t="s">
        <v>22</v>
      </c>
      <c r="F7" s="19">
        <f>SUM(F4:F6)</f>
        <v>5540</v>
      </c>
      <c r="G7" s="19">
        <f>SUM(G4:G6)</f>
        <v>853</v>
      </c>
      <c r="H7" s="12"/>
      <c r="I7" s="16" t="s">
        <v>50</v>
      </c>
      <c r="J7" s="19">
        <f>SUM(J4:J6)</f>
        <v>-3709</v>
      </c>
      <c r="K7" s="19">
        <f>SUM(K4:K6)</f>
        <v>-4198</v>
      </c>
    </row>
    <row r="8" spans="1:11" x14ac:dyDescent="0.25">
      <c r="A8" s="23" t="s">
        <v>80</v>
      </c>
      <c r="B8" s="24">
        <f>'Fictional Co'!C9-'Fictional Co'!C10</f>
        <v>1993</v>
      </c>
      <c r="C8" s="24">
        <f>'Fictional Co'!D9-'Fictional Co'!D10</f>
        <v>1637</v>
      </c>
      <c r="D8" s="12"/>
      <c r="E8" s="12" t="s">
        <v>75</v>
      </c>
      <c r="F8" s="18">
        <f>'Fictional Co'!G14</f>
        <v>2408</v>
      </c>
      <c r="G8" s="18">
        <f>'Fictional Co'!H14</f>
        <v>2522</v>
      </c>
      <c r="H8" s="12"/>
      <c r="I8" s="12" t="s">
        <v>71</v>
      </c>
      <c r="J8" s="18">
        <f>'Fictional Co'!K16</f>
        <v>-500</v>
      </c>
      <c r="K8" s="18">
        <f>'Fictional Co'!L16</f>
        <v>-650</v>
      </c>
    </row>
    <row r="9" spans="1:11" x14ac:dyDescent="0.25">
      <c r="A9" s="23" t="s">
        <v>9</v>
      </c>
      <c r="B9" s="24">
        <f>B6-B7-B8</f>
        <v>-4387</v>
      </c>
      <c r="C9" s="24">
        <f>C6-C7-C8</f>
        <v>-4567</v>
      </c>
      <c r="D9" s="12"/>
      <c r="E9" s="16" t="s">
        <v>27</v>
      </c>
      <c r="F9" s="19">
        <f>F7+F8</f>
        <v>7948</v>
      </c>
      <c r="G9" s="19">
        <f>G7+G8</f>
        <v>3375</v>
      </c>
      <c r="H9" s="12"/>
      <c r="I9" s="12" t="s">
        <v>79</v>
      </c>
      <c r="J9" s="18">
        <f>'Fictional Co'!K18-'Fictional Co'!K16</f>
        <v>1497</v>
      </c>
      <c r="K9" s="18">
        <f>'Fictional Co'!L18-'Fictional Co'!L16</f>
        <v>1936</v>
      </c>
    </row>
    <row r="10" spans="1:11" x14ac:dyDescent="0.25">
      <c r="A10" s="21" t="s">
        <v>81</v>
      </c>
      <c r="B10" s="22">
        <f>'Fictional Co'!C12-'Fictional Co'!C13</f>
        <v>103</v>
      </c>
      <c r="C10" s="22">
        <f>'Fictional Co'!D12-'Fictional Co'!D13</f>
        <v>232</v>
      </c>
      <c r="D10" s="12"/>
      <c r="E10" s="12" t="s">
        <v>72</v>
      </c>
      <c r="F10" s="18">
        <f>'Fictional Co'!G21</f>
        <v>604</v>
      </c>
      <c r="G10" s="18">
        <f>'Fictional Co'!H21</f>
        <v>545</v>
      </c>
      <c r="H10" s="12"/>
      <c r="I10" s="16" t="s">
        <v>55</v>
      </c>
      <c r="J10" s="19">
        <f>SUM(J8:J9)</f>
        <v>997</v>
      </c>
      <c r="K10" s="19">
        <f>SUM(K8:K9)</f>
        <v>1286</v>
      </c>
    </row>
    <row r="11" spans="1:11" x14ac:dyDescent="0.25">
      <c r="A11" s="21" t="s">
        <v>13</v>
      </c>
      <c r="B11" s="22">
        <f>'Fictional Co'!C15</f>
        <v>0</v>
      </c>
      <c r="C11" s="22">
        <f>'Fictional Co'!D15</f>
        <v>76</v>
      </c>
      <c r="D11" s="12"/>
      <c r="E11" s="12" t="s">
        <v>76</v>
      </c>
      <c r="F11" s="18">
        <f>'Fictional Co'!G24</f>
        <v>5790</v>
      </c>
      <c r="G11" s="18">
        <f>'Fictional Co'!H24</f>
        <v>6036</v>
      </c>
      <c r="H11" s="12"/>
      <c r="I11" s="16" t="s">
        <v>58</v>
      </c>
      <c r="J11" s="19">
        <f>'Fictional Co'!K22</f>
        <v>1650</v>
      </c>
      <c r="K11" s="19">
        <f>'Fictional Co'!L22</f>
        <v>5</v>
      </c>
    </row>
    <row r="12" spans="1:11" x14ac:dyDescent="0.25">
      <c r="A12" s="23" t="s">
        <v>14</v>
      </c>
      <c r="B12" s="24">
        <f>B9-B10-B11</f>
        <v>-4490</v>
      </c>
      <c r="C12" s="24">
        <f>C9-C10-C11</f>
        <v>-4875</v>
      </c>
      <c r="D12" s="12"/>
      <c r="E12" s="16" t="s">
        <v>36</v>
      </c>
      <c r="F12" s="19">
        <f>SUM(F10:F11)</f>
        <v>6394</v>
      </c>
      <c r="G12" s="19">
        <f>SUM(G10:G11)</f>
        <v>6581</v>
      </c>
      <c r="H12" s="12"/>
      <c r="I12" s="16" t="s">
        <v>59</v>
      </c>
      <c r="J12" s="19">
        <f>SUM(J7,J10,J11)</f>
        <v>-1062</v>
      </c>
      <c r="K12" s="19">
        <f>SUM(K7,K10,K11)</f>
        <v>-2907</v>
      </c>
    </row>
    <row r="13" spans="1:11" x14ac:dyDescent="0.25">
      <c r="D13" s="12"/>
      <c r="E13" s="16" t="s">
        <v>39</v>
      </c>
      <c r="F13" s="19">
        <f>'Fictional Co'!G28</f>
        <v>1554</v>
      </c>
      <c r="G13" s="19">
        <f>'Fictional Co'!H28</f>
        <v>-3206</v>
      </c>
      <c r="H13" s="12"/>
      <c r="I13" s="16" t="s">
        <v>60</v>
      </c>
      <c r="J13" s="19">
        <f>'Fictional Co'!K25</f>
        <v>4011</v>
      </c>
      <c r="K13" s="19">
        <f>'Fictional Co'!L25</f>
        <v>2949</v>
      </c>
    </row>
    <row r="14" spans="1:11" x14ac:dyDescent="0.25">
      <c r="A14" s="12"/>
      <c r="B14" s="20"/>
      <c r="C14" s="20"/>
      <c r="D14" s="12"/>
      <c r="E14" s="16" t="s">
        <v>40</v>
      </c>
      <c r="F14" s="19">
        <f>SUM(F12:F13)</f>
        <v>7948</v>
      </c>
      <c r="G14" s="19">
        <f>SUM(G12:G13)</f>
        <v>3375</v>
      </c>
      <c r="H14" s="12"/>
      <c r="I14" s="16" t="s">
        <v>61</v>
      </c>
      <c r="J14" s="19">
        <f>J13+J12</f>
        <v>2949</v>
      </c>
      <c r="K14" s="19">
        <f>K13+K12</f>
        <v>42</v>
      </c>
    </row>
    <row r="16" spans="1:1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8" ht="27.95" customHeight="1" x14ac:dyDescent="0.25"/>
    <row r="19" ht="27.95" customHeight="1" x14ac:dyDescent="0.25"/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28FE-BBBE-43D9-901A-15A611EBB108}">
  <dimension ref="B2:L32"/>
  <sheetViews>
    <sheetView topLeftCell="C1" zoomScale="71" zoomScaleNormal="71" workbookViewId="0">
      <selection activeCell="C4" sqref="C4:D5"/>
    </sheetView>
  </sheetViews>
  <sheetFormatPr defaultRowHeight="15" x14ac:dyDescent="0.25"/>
  <cols>
    <col min="2" max="2" width="42" customWidth="1"/>
    <col min="3" max="3" width="12.140625" customWidth="1"/>
    <col min="4" max="4" width="12.7109375" customWidth="1"/>
    <col min="6" max="6" width="44" customWidth="1"/>
    <col min="7" max="7" width="11.28515625" customWidth="1"/>
    <col min="8" max="8" width="13.85546875" customWidth="1"/>
    <col min="10" max="10" width="40.7109375" customWidth="1"/>
    <col min="11" max="11" width="14.5703125" customWidth="1"/>
    <col min="12" max="12" width="12.28515625" customWidth="1"/>
  </cols>
  <sheetData>
    <row r="2" spans="2:12" x14ac:dyDescent="0.25">
      <c r="B2" s="1"/>
      <c r="C2" s="2">
        <v>2024</v>
      </c>
      <c r="D2" s="2">
        <v>2025</v>
      </c>
      <c r="F2" s="1"/>
      <c r="G2" s="2">
        <v>2024</v>
      </c>
      <c r="H2" s="2">
        <v>2025</v>
      </c>
      <c r="J2" s="1"/>
      <c r="K2" s="2">
        <v>2024</v>
      </c>
      <c r="L2" s="2">
        <v>2025</v>
      </c>
    </row>
    <row r="3" spans="2:12" x14ac:dyDescent="0.25">
      <c r="B3" s="3" t="s">
        <v>1</v>
      </c>
      <c r="C3" s="4"/>
      <c r="D3" s="4"/>
      <c r="F3" s="3" t="s">
        <v>15</v>
      </c>
      <c r="G3" s="9"/>
      <c r="H3" s="9"/>
      <c r="J3" s="3" t="s">
        <v>41</v>
      </c>
      <c r="K3" s="9"/>
      <c r="L3" s="9"/>
    </row>
    <row r="4" spans="2:12" x14ac:dyDescent="0.25">
      <c r="B4" s="5" t="s">
        <v>2</v>
      </c>
      <c r="C4" s="6">
        <v>56</v>
      </c>
      <c r="D4" s="6">
        <v>222</v>
      </c>
      <c r="F4" s="5" t="s">
        <v>16</v>
      </c>
      <c r="G4" s="6">
        <f>K26</f>
        <v>3356</v>
      </c>
      <c r="H4" s="6">
        <f>L26</f>
        <v>1725</v>
      </c>
      <c r="J4" s="5" t="s">
        <v>42</v>
      </c>
      <c r="K4" s="6">
        <f>C16</f>
        <v>-4561</v>
      </c>
      <c r="L4" s="6">
        <f>D16</f>
        <v>-4343</v>
      </c>
    </row>
    <row r="5" spans="2:12" x14ac:dyDescent="0.25">
      <c r="B5" s="5" t="s">
        <v>3</v>
      </c>
      <c r="C5" s="6">
        <v>635</v>
      </c>
      <c r="D5" s="6">
        <v>602</v>
      </c>
      <c r="F5" s="5" t="s">
        <v>17</v>
      </c>
      <c r="G5" s="6">
        <v>357</v>
      </c>
      <c r="H5" s="6">
        <v>421</v>
      </c>
      <c r="J5" s="5" t="s">
        <v>43</v>
      </c>
      <c r="K5" s="6">
        <v>429</v>
      </c>
      <c r="L5" s="6">
        <v>425</v>
      </c>
    </row>
    <row r="6" spans="2:12" x14ac:dyDescent="0.25">
      <c r="B6" s="7" t="s">
        <v>4</v>
      </c>
      <c r="C6" s="8">
        <f>C4-C5</f>
        <v>-579</v>
      </c>
      <c r="D6" s="8">
        <f>D4-D5</f>
        <v>-380</v>
      </c>
      <c r="F6" s="5" t="s">
        <v>18</v>
      </c>
      <c r="G6" s="6">
        <v>2000</v>
      </c>
      <c r="H6" s="6">
        <v>0</v>
      </c>
      <c r="J6" s="5" t="s">
        <v>44</v>
      </c>
      <c r="K6" s="6">
        <v>396</v>
      </c>
      <c r="L6" s="6">
        <v>395</v>
      </c>
    </row>
    <row r="7" spans="2:12" x14ac:dyDescent="0.25">
      <c r="B7" s="5" t="s">
        <v>5</v>
      </c>
      <c r="C7" s="6">
        <v>1256</v>
      </c>
      <c r="D7" s="6">
        <v>1060</v>
      </c>
      <c r="F7" s="5" t="s">
        <v>19</v>
      </c>
      <c r="G7" s="6">
        <v>12</v>
      </c>
      <c r="H7" s="6">
        <v>52</v>
      </c>
      <c r="J7" s="5" t="s">
        <v>45</v>
      </c>
      <c r="K7" s="6">
        <v>-64</v>
      </c>
      <c r="L7" s="6">
        <v>5</v>
      </c>
    </row>
    <row r="8" spans="2:12" x14ac:dyDescent="0.25">
      <c r="B8" s="5" t="s">
        <v>6</v>
      </c>
      <c r="C8" s="6">
        <v>630</v>
      </c>
      <c r="D8" s="6">
        <v>958</v>
      </c>
      <c r="F8" s="5" t="s">
        <v>20</v>
      </c>
      <c r="G8" s="6">
        <v>112</v>
      </c>
      <c r="H8" s="6">
        <v>88</v>
      </c>
      <c r="J8" s="5" t="s">
        <v>46</v>
      </c>
      <c r="K8" s="6">
        <v>132</v>
      </c>
      <c r="L8" s="6">
        <v>110</v>
      </c>
    </row>
    <row r="9" spans="2:12" x14ac:dyDescent="0.25">
      <c r="B9" s="5" t="s">
        <v>7</v>
      </c>
      <c r="C9" s="6">
        <v>2076</v>
      </c>
      <c r="D9" s="6">
        <v>1774</v>
      </c>
      <c r="F9" s="5" t="s">
        <v>21</v>
      </c>
      <c r="G9" s="6">
        <v>72</v>
      </c>
      <c r="H9" s="6">
        <v>99</v>
      </c>
      <c r="J9" s="5" t="s">
        <v>47</v>
      </c>
      <c r="K9" s="6">
        <v>-23</v>
      </c>
      <c r="L9" s="6">
        <f>SUM(G7:G8)-SUM(H7:H8)</f>
        <v>-16</v>
      </c>
    </row>
    <row r="10" spans="2:12" x14ac:dyDescent="0.25">
      <c r="B10" s="5" t="s">
        <v>8</v>
      </c>
      <c r="C10" s="6">
        <v>83</v>
      </c>
      <c r="D10" s="6">
        <v>137</v>
      </c>
      <c r="F10" s="7" t="s">
        <v>22</v>
      </c>
      <c r="G10" s="8">
        <f>SUM(G4:G9)</f>
        <v>5909</v>
      </c>
      <c r="H10" s="8">
        <f>SUM(H4:H9)</f>
        <v>2385</v>
      </c>
      <c r="J10" s="5" t="s">
        <v>48</v>
      </c>
      <c r="K10" s="6">
        <v>-72</v>
      </c>
      <c r="L10" s="6">
        <f>G9-H9</f>
        <v>-27</v>
      </c>
    </row>
    <row r="11" spans="2:12" x14ac:dyDescent="0.25">
      <c r="B11" s="7" t="s">
        <v>9</v>
      </c>
      <c r="C11" s="8">
        <f>C6-SUM(C7:C9)+C10</f>
        <v>-4458</v>
      </c>
      <c r="D11" s="8">
        <f>D6-SUM(D7:D9)+D10</f>
        <v>-4035</v>
      </c>
      <c r="F11" s="5" t="s">
        <v>23</v>
      </c>
      <c r="G11" s="6">
        <v>58</v>
      </c>
      <c r="H11" s="6">
        <v>66</v>
      </c>
      <c r="J11" s="5" t="s">
        <v>49</v>
      </c>
      <c r="K11" s="6">
        <v>21</v>
      </c>
      <c r="L11" s="6">
        <f>SUM(H17:H18,H20)-SUM(G17:G18,G20)</f>
        <v>-102</v>
      </c>
    </row>
    <row r="12" spans="2:12" x14ac:dyDescent="0.25">
      <c r="B12" s="5" t="s">
        <v>10</v>
      </c>
      <c r="C12" s="6">
        <v>405</v>
      </c>
      <c r="D12" s="6">
        <v>405</v>
      </c>
      <c r="F12" s="5" t="s">
        <v>24</v>
      </c>
      <c r="G12" s="6">
        <v>322</v>
      </c>
      <c r="H12" s="6">
        <v>211</v>
      </c>
      <c r="J12" s="7" t="s">
        <v>50</v>
      </c>
      <c r="K12" s="8">
        <f>SUM(K4:K11)</f>
        <v>-3742</v>
      </c>
      <c r="L12" s="8">
        <f>SUM(L4:L11)</f>
        <v>-3553</v>
      </c>
    </row>
    <row r="13" spans="2:12" x14ac:dyDescent="0.25">
      <c r="B13" s="5" t="s">
        <v>11</v>
      </c>
      <c r="C13" s="6">
        <v>302</v>
      </c>
      <c r="D13" s="6">
        <v>173</v>
      </c>
      <c r="F13" s="5" t="s">
        <v>25</v>
      </c>
      <c r="G13" s="6">
        <f>K31-K16-K5-K32</f>
        <v>1588</v>
      </c>
      <c r="H13" s="6">
        <f>L31-L16-L5-L32</f>
        <v>1174</v>
      </c>
      <c r="J13" s="5"/>
      <c r="K13" s="6"/>
      <c r="L13" s="6"/>
    </row>
    <row r="14" spans="2:12" x14ac:dyDescent="0.25">
      <c r="B14" s="5" t="s">
        <v>12</v>
      </c>
      <c r="C14" s="6">
        <f>C11-C12+C13</f>
        <v>-4561</v>
      </c>
      <c r="D14" s="6">
        <f>D11-D12+D13</f>
        <v>-4267</v>
      </c>
      <c r="F14" s="7" t="s">
        <v>26</v>
      </c>
      <c r="G14" s="8">
        <f>SUM(G11:G13)</f>
        <v>1968</v>
      </c>
      <c r="H14" s="8">
        <f>SUM(H11:H13)</f>
        <v>1451</v>
      </c>
      <c r="J14" s="5" t="s">
        <v>51</v>
      </c>
      <c r="K14" s="6">
        <v>-6</v>
      </c>
      <c r="L14" s="6">
        <f>SUM(G5,G11)-SUM(H5,H11)</f>
        <v>-72</v>
      </c>
    </row>
    <row r="15" spans="2:12" x14ac:dyDescent="0.25">
      <c r="B15" s="5" t="s">
        <v>13</v>
      </c>
      <c r="C15" s="6">
        <v>0</v>
      </c>
      <c r="D15" s="6">
        <v>76</v>
      </c>
      <c r="F15" s="7" t="s">
        <v>27</v>
      </c>
      <c r="G15" s="8">
        <f>G10+G14</f>
        <v>7877</v>
      </c>
      <c r="H15" s="8">
        <f>H10+H14</f>
        <v>3836</v>
      </c>
      <c r="J15" s="5" t="s">
        <v>52</v>
      </c>
      <c r="K15" s="6">
        <v>1503</v>
      </c>
      <c r="L15" s="6">
        <f>G6-H6</f>
        <v>2000</v>
      </c>
    </row>
    <row r="16" spans="2:12" x14ac:dyDescent="0.25">
      <c r="B16" s="7" t="s">
        <v>14</v>
      </c>
      <c r="C16" s="8">
        <f>C14-C15</f>
        <v>-4561</v>
      </c>
      <c r="D16" s="8">
        <f>D14-D15</f>
        <v>-4343</v>
      </c>
      <c r="F16" s="5"/>
      <c r="G16" s="6"/>
      <c r="H16" s="6"/>
      <c r="J16" s="5" t="s">
        <v>53</v>
      </c>
      <c r="K16" s="6">
        <v>-60</v>
      </c>
      <c r="L16" s="6">
        <v>-19</v>
      </c>
    </row>
    <row r="17" spans="2:12" x14ac:dyDescent="0.25">
      <c r="B17" s="5"/>
      <c r="C17" s="6"/>
      <c r="D17" s="6"/>
      <c r="F17" s="5" t="s">
        <v>28</v>
      </c>
      <c r="G17" s="6">
        <v>146</v>
      </c>
      <c r="H17" s="6">
        <v>99</v>
      </c>
      <c r="J17" s="5" t="s">
        <v>54</v>
      </c>
      <c r="K17" s="6">
        <v>0</v>
      </c>
      <c r="L17" s="6">
        <v>8</v>
      </c>
    </row>
    <row r="18" spans="2:12" x14ac:dyDescent="0.25">
      <c r="F18" s="5" t="s">
        <v>29</v>
      </c>
      <c r="G18" s="6">
        <v>256</v>
      </c>
      <c r="H18" s="6">
        <v>164</v>
      </c>
      <c r="J18" s="7" t="s">
        <v>55</v>
      </c>
      <c r="K18" s="8">
        <f>SUM(K14:K17)</f>
        <v>1437</v>
      </c>
      <c r="L18" s="8">
        <f>SUM(L14:L17)</f>
        <v>1917</v>
      </c>
    </row>
    <row r="19" spans="2:12" x14ac:dyDescent="0.25">
      <c r="F19" s="5" t="s">
        <v>30</v>
      </c>
      <c r="G19" s="6">
        <v>169</v>
      </c>
      <c r="H19" s="6">
        <v>212</v>
      </c>
      <c r="J19" s="5"/>
      <c r="K19" s="6"/>
      <c r="L19" s="6"/>
    </row>
    <row r="20" spans="2:12" x14ac:dyDescent="0.25">
      <c r="F20" s="5" t="s">
        <v>31</v>
      </c>
      <c r="G20" s="6">
        <v>33</v>
      </c>
      <c r="H20" s="6">
        <v>70</v>
      </c>
      <c r="J20" s="5" t="s">
        <v>56</v>
      </c>
      <c r="K20" s="6">
        <v>1650</v>
      </c>
      <c r="L20" s="6">
        <v>0</v>
      </c>
    </row>
    <row r="21" spans="2:12" x14ac:dyDescent="0.25">
      <c r="F21" s="7" t="s">
        <v>32</v>
      </c>
      <c r="G21" s="8">
        <f>SUM(G17:G20)</f>
        <v>604</v>
      </c>
      <c r="H21" s="8">
        <f>SUM(H17:H20)</f>
        <v>545</v>
      </c>
      <c r="J21" s="5" t="s">
        <v>57</v>
      </c>
      <c r="K21" s="6">
        <v>0</v>
      </c>
      <c r="L21" s="6">
        <v>5</v>
      </c>
    </row>
    <row r="22" spans="2:12" x14ac:dyDescent="0.25">
      <c r="F22" s="5" t="s">
        <v>33</v>
      </c>
      <c r="G22" s="6">
        <v>438</v>
      </c>
      <c r="H22" s="6">
        <v>289</v>
      </c>
      <c r="J22" s="7" t="s">
        <v>58</v>
      </c>
      <c r="K22" s="8">
        <f>SUM(K20:K21)</f>
        <v>1650</v>
      </c>
      <c r="L22" s="8">
        <f>SUM(L20:L21)</f>
        <v>5</v>
      </c>
    </row>
    <row r="23" spans="2:12" x14ac:dyDescent="0.25">
      <c r="F23" s="5" t="s">
        <v>34</v>
      </c>
      <c r="G23" s="6">
        <v>5352</v>
      </c>
      <c r="H23" s="6">
        <v>5747</v>
      </c>
      <c r="J23" s="5"/>
      <c r="K23" s="6"/>
      <c r="L23" s="6"/>
    </row>
    <row r="24" spans="2:12" x14ac:dyDescent="0.25">
      <c r="F24" s="7" t="s">
        <v>35</v>
      </c>
      <c r="G24" s="8">
        <f>SUM(G22:G23)</f>
        <v>5790</v>
      </c>
      <c r="H24" s="8">
        <f>SUM(H22:H23)</f>
        <v>6036</v>
      </c>
      <c r="J24" s="7" t="s">
        <v>59</v>
      </c>
      <c r="K24" s="8">
        <f>SUM(K12,K18,K22)</f>
        <v>-655</v>
      </c>
      <c r="L24" s="8">
        <f>SUM(L12,L18,L22)</f>
        <v>-1631</v>
      </c>
    </row>
    <row r="25" spans="2:12" x14ac:dyDescent="0.25">
      <c r="F25" s="7" t="s">
        <v>36</v>
      </c>
      <c r="G25" s="8">
        <f>G21+G24</f>
        <v>6394</v>
      </c>
      <c r="H25" s="8">
        <f>H21+H24</f>
        <v>6581</v>
      </c>
      <c r="J25" s="5" t="s">
        <v>60</v>
      </c>
      <c r="K25" s="6">
        <v>4011</v>
      </c>
      <c r="L25" s="6">
        <f>G4</f>
        <v>3356</v>
      </c>
    </row>
    <row r="26" spans="2:12" x14ac:dyDescent="0.25">
      <c r="F26" s="5" t="s">
        <v>37</v>
      </c>
      <c r="G26" s="6">
        <f>K29+K8+K21</f>
        <v>14669</v>
      </c>
      <c r="H26" s="6">
        <f>L29+L8+L21</f>
        <v>14784</v>
      </c>
      <c r="J26" s="7" t="s">
        <v>61</v>
      </c>
      <c r="K26" s="8">
        <f>K25+K24</f>
        <v>3356</v>
      </c>
      <c r="L26" s="8">
        <f>L25+L24</f>
        <v>1725</v>
      </c>
    </row>
    <row r="27" spans="2:12" x14ac:dyDescent="0.25">
      <c r="F27" s="5" t="s">
        <v>38</v>
      </c>
      <c r="G27" s="6">
        <f>K30+K4</f>
        <v>-13186</v>
      </c>
      <c r="H27" s="6">
        <f>L30+L4</f>
        <v>-17529</v>
      </c>
      <c r="J27" s="5"/>
      <c r="K27" s="6"/>
      <c r="L27" s="6"/>
    </row>
    <row r="28" spans="2:12" x14ac:dyDescent="0.25">
      <c r="F28" s="7" t="s">
        <v>39</v>
      </c>
      <c r="G28" s="8">
        <f>G26+G27</f>
        <v>1483</v>
      </c>
      <c r="H28" s="8">
        <f>H26+H27</f>
        <v>-2745</v>
      </c>
      <c r="J28" s="5"/>
      <c r="K28" s="6"/>
      <c r="L28" s="6"/>
    </row>
    <row r="29" spans="2:12" x14ac:dyDescent="0.25">
      <c r="F29" s="7" t="s">
        <v>40</v>
      </c>
      <c r="G29" s="8">
        <f>G25+G28</f>
        <v>7877</v>
      </c>
      <c r="H29" s="8">
        <f>H25+H28</f>
        <v>3836</v>
      </c>
      <c r="J29" s="5" t="s">
        <v>62</v>
      </c>
      <c r="K29" s="6">
        <v>14537</v>
      </c>
      <c r="L29" s="6">
        <f>G26</f>
        <v>14669</v>
      </c>
    </row>
    <row r="30" spans="2:12" x14ac:dyDescent="0.25">
      <c r="J30" s="5" t="s">
        <v>63</v>
      </c>
      <c r="K30" s="6">
        <v>-8625</v>
      </c>
      <c r="L30" s="6">
        <f>G27</f>
        <v>-13186</v>
      </c>
    </row>
    <row r="31" spans="2:12" x14ac:dyDescent="0.25">
      <c r="J31" s="5" t="s">
        <v>64</v>
      </c>
      <c r="K31" s="6">
        <v>1957</v>
      </c>
      <c r="L31" s="6">
        <f>G13</f>
        <v>1588</v>
      </c>
    </row>
    <row r="32" spans="2:12" x14ac:dyDescent="0.25">
      <c r="J32" s="5" t="s">
        <v>65</v>
      </c>
      <c r="K32" s="6">
        <v>0</v>
      </c>
      <c r="L32" s="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EFC4-939D-47B6-A10F-5BA801367DD4}">
  <dimension ref="B1:L32"/>
  <sheetViews>
    <sheetView zoomScale="71" zoomScaleNormal="71" workbookViewId="0">
      <selection activeCell="B33" sqref="B33"/>
    </sheetView>
  </sheetViews>
  <sheetFormatPr defaultRowHeight="15" x14ac:dyDescent="0.25"/>
  <cols>
    <col min="2" max="2" width="57.140625" customWidth="1"/>
    <col min="3" max="4" width="12" bestFit="1" customWidth="1"/>
    <col min="6" max="6" width="44.7109375" customWidth="1"/>
    <col min="7" max="7" width="10.5703125" bestFit="1" customWidth="1"/>
    <col min="8" max="8" width="12.85546875" customWidth="1"/>
    <col min="10" max="10" width="41.85546875" customWidth="1"/>
    <col min="11" max="12" width="12" bestFit="1" customWidth="1"/>
  </cols>
  <sheetData>
    <row r="1" spans="2:12" ht="26.1" customHeight="1" x14ac:dyDescent="0.25">
      <c r="B1" s="10" t="s">
        <v>83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x14ac:dyDescent="0.25">
      <c r="B2" s="1"/>
      <c r="C2" s="2">
        <v>2024</v>
      </c>
      <c r="D2" s="2">
        <v>2025</v>
      </c>
      <c r="F2" s="1"/>
      <c r="G2" s="2">
        <v>2024</v>
      </c>
      <c r="H2" s="2">
        <v>2025</v>
      </c>
      <c r="J2" s="1"/>
      <c r="K2" s="2">
        <v>2024</v>
      </c>
      <c r="L2" s="2">
        <v>2025</v>
      </c>
    </row>
    <row r="3" spans="2:12" x14ac:dyDescent="0.25">
      <c r="B3" s="3" t="s">
        <v>1</v>
      </c>
      <c r="C3" s="4"/>
      <c r="D3" s="4"/>
      <c r="F3" s="3" t="s">
        <v>15</v>
      </c>
      <c r="G3" s="9"/>
      <c r="H3" s="9"/>
      <c r="J3" s="3" t="s">
        <v>41</v>
      </c>
      <c r="K3" s="9"/>
      <c r="L3" s="9"/>
    </row>
    <row r="4" spans="2:12" x14ac:dyDescent="0.25">
      <c r="B4" s="5" t="s">
        <v>2</v>
      </c>
      <c r="C4" s="6">
        <v>56</v>
      </c>
      <c r="D4" s="6">
        <v>222</v>
      </c>
      <c r="F4" s="5" t="s">
        <v>16</v>
      </c>
      <c r="G4" s="6">
        <f>K26</f>
        <v>2949</v>
      </c>
      <c r="H4" s="6">
        <f>L26</f>
        <v>42</v>
      </c>
      <c r="J4" s="5" t="s">
        <v>42</v>
      </c>
      <c r="K4" s="6">
        <f>C16</f>
        <v>-4490</v>
      </c>
      <c r="L4" s="6">
        <f>D16</f>
        <v>-4875</v>
      </c>
    </row>
    <row r="5" spans="2:12" x14ac:dyDescent="0.25">
      <c r="B5" s="5" t="s">
        <v>3</v>
      </c>
      <c r="C5" s="6">
        <v>300</v>
      </c>
      <c r="D5" s="6">
        <v>552</v>
      </c>
      <c r="F5" s="5" t="s">
        <v>17</v>
      </c>
      <c r="G5" s="6">
        <v>357</v>
      </c>
      <c r="H5" s="6">
        <v>421</v>
      </c>
      <c r="J5" s="5" t="s">
        <v>43</v>
      </c>
      <c r="K5" s="6">
        <v>429</v>
      </c>
      <c r="L5" s="6">
        <v>425</v>
      </c>
    </row>
    <row r="6" spans="2:12" x14ac:dyDescent="0.25">
      <c r="B6" s="7" t="s">
        <v>4</v>
      </c>
      <c r="C6" s="8">
        <f>C4-C5</f>
        <v>-244</v>
      </c>
      <c r="D6" s="8">
        <f>D4-D5</f>
        <v>-330</v>
      </c>
      <c r="F6" s="5" t="s">
        <v>18</v>
      </c>
      <c r="G6" s="6">
        <v>2000</v>
      </c>
      <c r="H6" s="6">
        <v>0</v>
      </c>
      <c r="J6" s="5" t="s">
        <v>44</v>
      </c>
      <c r="K6" s="6">
        <v>396</v>
      </c>
      <c r="L6" s="6">
        <v>395</v>
      </c>
    </row>
    <row r="7" spans="2:12" x14ac:dyDescent="0.25">
      <c r="B7" s="5" t="s">
        <v>5</v>
      </c>
      <c r="C7" s="6">
        <v>1400</v>
      </c>
      <c r="D7" s="6">
        <v>1450</v>
      </c>
      <c r="F7" s="5" t="s">
        <v>19</v>
      </c>
      <c r="G7" s="6">
        <v>12</v>
      </c>
      <c r="H7" s="6">
        <v>52</v>
      </c>
      <c r="J7" s="5" t="s">
        <v>45</v>
      </c>
      <c r="K7" s="6">
        <v>-64</v>
      </c>
      <c r="L7" s="6">
        <v>5</v>
      </c>
    </row>
    <row r="8" spans="2:12" x14ac:dyDescent="0.25">
      <c r="B8" s="5" t="s">
        <v>6</v>
      </c>
      <c r="C8" s="6">
        <v>750</v>
      </c>
      <c r="D8" s="6">
        <v>1150</v>
      </c>
      <c r="F8" s="5" t="s">
        <v>20</v>
      </c>
      <c r="G8" s="6">
        <v>112</v>
      </c>
      <c r="H8" s="6">
        <v>88</v>
      </c>
      <c r="J8" s="5" t="s">
        <v>46</v>
      </c>
      <c r="K8" s="6">
        <v>132</v>
      </c>
      <c r="L8" s="6">
        <v>110</v>
      </c>
    </row>
    <row r="9" spans="2:12" x14ac:dyDescent="0.25">
      <c r="B9" s="5" t="s">
        <v>7</v>
      </c>
      <c r="C9" s="6">
        <v>2076</v>
      </c>
      <c r="D9" s="6">
        <v>1774</v>
      </c>
      <c r="F9" s="5" t="s">
        <v>21</v>
      </c>
      <c r="G9" s="6">
        <v>110</v>
      </c>
      <c r="H9" s="6">
        <v>250</v>
      </c>
      <c r="J9" s="5" t="s">
        <v>47</v>
      </c>
      <c r="K9" s="6">
        <v>-23</v>
      </c>
      <c r="L9" s="6">
        <f>SUM(G7:G8)-SUM(H7:H8)</f>
        <v>-16</v>
      </c>
    </row>
    <row r="10" spans="2:12" x14ac:dyDescent="0.25">
      <c r="B10" s="5" t="s">
        <v>8</v>
      </c>
      <c r="C10" s="6">
        <v>83</v>
      </c>
      <c r="D10" s="6">
        <v>137</v>
      </c>
      <c r="F10" s="7" t="s">
        <v>22</v>
      </c>
      <c r="G10" s="8">
        <f>SUM(G4:G9)</f>
        <v>5540</v>
      </c>
      <c r="H10" s="8">
        <f>SUM(H4:H9)</f>
        <v>853</v>
      </c>
      <c r="J10" s="5" t="s">
        <v>48</v>
      </c>
      <c r="K10" s="6">
        <f>-G9</f>
        <v>-110</v>
      </c>
      <c r="L10" s="6">
        <f>G9-H9</f>
        <v>-140</v>
      </c>
    </row>
    <row r="11" spans="2:12" x14ac:dyDescent="0.25">
      <c r="B11" s="7" t="s">
        <v>9</v>
      </c>
      <c r="C11" s="8">
        <f>C6-SUM(C7:C9)+C10</f>
        <v>-4387</v>
      </c>
      <c r="D11" s="8">
        <f>D6-SUM(D7:D9)+D10</f>
        <v>-4567</v>
      </c>
      <c r="F11" s="5" t="s">
        <v>23</v>
      </c>
      <c r="G11" s="6">
        <v>58</v>
      </c>
      <c r="H11" s="6">
        <v>66</v>
      </c>
      <c r="J11" s="5" t="s">
        <v>49</v>
      </c>
      <c r="K11" s="6">
        <v>21</v>
      </c>
      <c r="L11" s="6">
        <f>SUM(H17:H18,H20)-SUM(G17:G18,G20)</f>
        <v>-102</v>
      </c>
    </row>
    <row r="12" spans="2:12" x14ac:dyDescent="0.25">
      <c r="B12" s="5" t="s">
        <v>10</v>
      </c>
      <c r="C12" s="6">
        <v>405</v>
      </c>
      <c r="D12" s="6">
        <v>405</v>
      </c>
      <c r="F12" s="5" t="s">
        <v>24</v>
      </c>
      <c r="G12" s="6">
        <v>322</v>
      </c>
      <c r="H12" s="6">
        <v>211</v>
      </c>
      <c r="J12" s="7" t="s">
        <v>50</v>
      </c>
      <c r="K12" s="8">
        <f>SUM(K4:K11)</f>
        <v>-3709</v>
      </c>
      <c r="L12" s="8">
        <f>SUM(L4:L11)</f>
        <v>-4198</v>
      </c>
    </row>
    <row r="13" spans="2:12" x14ac:dyDescent="0.25">
      <c r="B13" s="5" t="s">
        <v>11</v>
      </c>
      <c r="C13" s="6">
        <v>302</v>
      </c>
      <c r="D13" s="6">
        <v>173</v>
      </c>
      <c r="F13" s="5" t="s">
        <v>25</v>
      </c>
      <c r="G13" s="6">
        <f>K31-K16-K5-K32</f>
        <v>2028</v>
      </c>
      <c r="H13" s="6">
        <f>L31-L16-L5-L32</f>
        <v>2245</v>
      </c>
      <c r="J13" s="5"/>
      <c r="K13" s="6"/>
      <c r="L13" s="6"/>
    </row>
    <row r="14" spans="2:12" x14ac:dyDescent="0.25">
      <c r="B14" s="5" t="s">
        <v>12</v>
      </c>
      <c r="C14" s="6">
        <f>C11-C12+C13</f>
        <v>-4490</v>
      </c>
      <c r="D14" s="6">
        <f>D11-D12+D13</f>
        <v>-4799</v>
      </c>
      <c r="F14" s="7" t="s">
        <v>26</v>
      </c>
      <c r="G14" s="8">
        <f>SUM(G11:G13)</f>
        <v>2408</v>
      </c>
      <c r="H14" s="8">
        <f>SUM(H11:H13)</f>
        <v>2522</v>
      </c>
      <c r="J14" s="5" t="s">
        <v>51</v>
      </c>
      <c r="K14" s="6">
        <v>-6</v>
      </c>
      <c r="L14" s="6">
        <f>SUM(G5,G11)-SUM(H5,H11)</f>
        <v>-72</v>
      </c>
    </row>
    <row r="15" spans="2:12" x14ac:dyDescent="0.25">
      <c r="B15" s="5" t="s">
        <v>13</v>
      </c>
      <c r="C15" s="6">
        <v>0</v>
      </c>
      <c r="D15" s="6">
        <v>76</v>
      </c>
      <c r="F15" s="7" t="s">
        <v>27</v>
      </c>
      <c r="G15" s="8">
        <f>G10+G14</f>
        <v>7948</v>
      </c>
      <c r="H15" s="8">
        <f>H10+H14</f>
        <v>3375</v>
      </c>
      <c r="J15" s="5" t="s">
        <v>52</v>
      </c>
      <c r="K15" s="6">
        <v>1503</v>
      </c>
      <c r="L15" s="6">
        <f>G6-H6</f>
        <v>2000</v>
      </c>
    </row>
    <row r="16" spans="2:12" x14ac:dyDescent="0.25">
      <c r="B16" s="7" t="s">
        <v>14</v>
      </c>
      <c r="C16" s="8">
        <f>C14-C15</f>
        <v>-4490</v>
      </c>
      <c r="D16" s="8">
        <f>D14-D15</f>
        <v>-4875</v>
      </c>
      <c r="F16" s="5"/>
      <c r="G16" s="6"/>
      <c r="H16" s="6"/>
      <c r="J16" s="5" t="s">
        <v>53</v>
      </c>
      <c r="K16" s="6">
        <v>-500</v>
      </c>
      <c r="L16" s="6">
        <v>-650</v>
      </c>
    </row>
    <row r="17" spans="2:12" x14ac:dyDescent="0.25">
      <c r="B17" s="5"/>
      <c r="C17" s="6"/>
      <c r="D17" s="6"/>
      <c r="F17" s="5" t="s">
        <v>28</v>
      </c>
      <c r="G17" s="6">
        <v>146</v>
      </c>
      <c r="H17" s="6">
        <v>99</v>
      </c>
      <c r="J17" s="5" t="s">
        <v>54</v>
      </c>
      <c r="K17" s="6">
        <v>0</v>
      </c>
      <c r="L17" s="6">
        <v>8</v>
      </c>
    </row>
    <row r="18" spans="2:12" x14ac:dyDescent="0.25">
      <c r="F18" s="5" t="s">
        <v>29</v>
      </c>
      <c r="G18" s="6">
        <v>256</v>
      </c>
      <c r="H18" s="6">
        <v>164</v>
      </c>
      <c r="J18" s="7" t="s">
        <v>55</v>
      </c>
      <c r="K18" s="8">
        <f>SUM(K14:K17)</f>
        <v>997</v>
      </c>
      <c r="L18" s="8">
        <f>SUM(L14:L17)</f>
        <v>1286</v>
      </c>
    </row>
    <row r="19" spans="2:12" x14ac:dyDescent="0.25">
      <c r="F19" s="5" t="s">
        <v>30</v>
      </c>
      <c r="G19" s="6">
        <v>169</v>
      </c>
      <c r="H19" s="6">
        <v>212</v>
      </c>
      <c r="J19" s="5"/>
      <c r="K19" s="6"/>
      <c r="L19" s="6"/>
    </row>
    <row r="20" spans="2:12" x14ac:dyDescent="0.25">
      <c r="B20" s="11" t="s">
        <v>66</v>
      </c>
      <c r="F20" s="5" t="s">
        <v>31</v>
      </c>
      <c r="G20" s="6">
        <v>33</v>
      </c>
      <c r="H20" s="6">
        <v>70</v>
      </c>
      <c r="J20" s="5" t="s">
        <v>56</v>
      </c>
      <c r="K20" s="6">
        <v>1650</v>
      </c>
      <c r="L20" s="6">
        <v>0</v>
      </c>
    </row>
    <row r="21" spans="2:12" x14ac:dyDescent="0.25">
      <c r="B21" s="11" t="s">
        <v>67</v>
      </c>
      <c r="F21" s="7" t="s">
        <v>32</v>
      </c>
      <c r="G21" s="8">
        <f>SUM(G17:G20)</f>
        <v>604</v>
      </c>
      <c r="H21" s="8">
        <f>SUM(H17:H20)</f>
        <v>545</v>
      </c>
      <c r="J21" s="5" t="s">
        <v>57</v>
      </c>
      <c r="K21" s="6">
        <v>0</v>
      </c>
      <c r="L21" s="6">
        <v>5</v>
      </c>
    </row>
    <row r="22" spans="2:12" x14ac:dyDescent="0.25">
      <c r="B22" s="11" t="s">
        <v>68</v>
      </c>
      <c r="F22" s="5" t="s">
        <v>33</v>
      </c>
      <c r="G22" s="6">
        <v>438</v>
      </c>
      <c r="H22" s="6">
        <v>289</v>
      </c>
      <c r="J22" s="7" t="s">
        <v>58</v>
      </c>
      <c r="K22" s="8">
        <f>SUM(K20:K21)</f>
        <v>1650</v>
      </c>
      <c r="L22" s="8">
        <f>SUM(L20:L21)</f>
        <v>5</v>
      </c>
    </row>
    <row r="23" spans="2:12" x14ac:dyDescent="0.25">
      <c r="B23" s="11" t="s">
        <v>69</v>
      </c>
      <c r="F23" s="5" t="s">
        <v>34</v>
      </c>
      <c r="G23" s="6">
        <v>5352</v>
      </c>
      <c r="H23" s="6">
        <v>5747</v>
      </c>
      <c r="J23" s="5"/>
      <c r="K23" s="6"/>
      <c r="L23" s="6"/>
    </row>
    <row r="24" spans="2:12" x14ac:dyDescent="0.25">
      <c r="B24" s="11" t="s">
        <v>70</v>
      </c>
      <c r="F24" s="7" t="s">
        <v>35</v>
      </c>
      <c r="G24" s="8">
        <f>SUM(G22:G23)</f>
        <v>5790</v>
      </c>
      <c r="H24" s="8">
        <f>SUM(H22:H23)</f>
        <v>6036</v>
      </c>
      <c r="J24" s="7" t="s">
        <v>59</v>
      </c>
      <c r="K24" s="8">
        <f>SUM(K12,K18,K22)</f>
        <v>-1062</v>
      </c>
      <c r="L24" s="8">
        <f>SUM(L12,L18,L22)</f>
        <v>-2907</v>
      </c>
    </row>
    <row r="25" spans="2:12" x14ac:dyDescent="0.25">
      <c r="F25" s="7" t="s">
        <v>36</v>
      </c>
      <c r="G25" s="8">
        <f>G21+G24</f>
        <v>6394</v>
      </c>
      <c r="H25" s="8">
        <f>H21+H24</f>
        <v>6581</v>
      </c>
      <c r="J25" s="5" t="s">
        <v>60</v>
      </c>
      <c r="K25" s="6">
        <v>4011</v>
      </c>
      <c r="L25" s="6">
        <f>G4</f>
        <v>2949</v>
      </c>
    </row>
    <row r="26" spans="2:12" x14ac:dyDescent="0.25">
      <c r="F26" s="5" t="s">
        <v>37</v>
      </c>
      <c r="G26" s="6">
        <f>K29+K8+K21</f>
        <v>14669</v>
      </c>
      <c r="H26" s="6">
        <f>L29+L8+L21</f>
        <v>14784</v>
      </c>
      <c r="J26" s="7" t="s">
        <v>61</v>
      </c>
      <c r="K26" s="8">
        <f>K25+K24</f>
        <v>2949</v>
      </c>
      <c r="L26" s="8">
        <f>L25+L24</f>
        <v>42</v>
      </c>
    </row>
    <row r="27" spans="2:12" x14ac:dyDescent="0.25">
      <c r="F27" s="5" t="s">
        <v>38</v>
      </c>
      <c r="G27" s="6">
        <f>K30+K4</f>
        <v>-13115</v>
      </c>
      <c r="H27" s="6">
        <f>L30+L4</f>
        <v>-17990</v>
      </c>
      <c r="J27" s="5"/>
      <c r="K27" s="6"/>
      <c r="L27" s="6"/>
    </row>
    <row r="28" spans="2:12" x14ac:dyDescent="0.25">
      <c r="F28" s="7" t="s">
        <v>39</v>
      </c>
      <c r="G28" s="8">
        <f>G26+G27</f>
        <v>1554</v>
      </c>
      <c r="H28" s="8">
        <f>H26+H27</f>
        <v>-3206</v>
      </c>
      <c r="J28" s="5"/>
      <c r="K28" s="6"/>
      <c r="L28" s="6"/>
    </row>
    <row r="29" spans="2:12" x14ac:dyDescent="0.25">
      <c r="F29" s="7" t="s">
        <v>40</v>
      </c>
      <c r="G29" s="8">
        <f>G25+G28</f>
        <v>7948</v>
      </c>
      <c r="H29" s="8">
        <f>H25+H28</f>
        <v>3375</v>
      </c>
      <c r="J29" s="5" t="s">
        <v>62</v>
      </c>
      <c r="K29" s="6">
        <v>14537</v>
      </c>
      <c r="L29" s="6">
        <f>G26</f>
        <v>14669</v>
      </c>
    </row>
    <row r="30" spans="2:12" x14ac:dyDescent="0.25">
      <c r="J30" s="5" t="s">
        <v>63</v>
      </c>
      <c r="K30" s="6">
        <v>-8625</v>
      </c>
      <c r="L30" s="6">
        <f>G27</f>
        <v>-13115</v>
      </c>
    </row>
    <row r="31" spans="2:12" x14ac:dyDescent="0.25">
      <c r="J31" s="5" t="s">
        <v>64</v>
      </c>
      <c r="K31" s="6">
        <v>1957</v>
      </c>
      <c r="L31" s="6">
        <f>G13</f>
        <v>2028</v>
      </c>
    </row>
    <row r="32" spans="2:12" x14ac:dyDescent="0.25">
      <c r="J32" s="5" t="s">
        <v>65</v>
      </c>
      <c r="K32" s="6">
        <v>0</v>
      </c>
      <c r="L32" s="6">
        <v>8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B797-AE24-4902-884F-3FFDE331BECC}">
  <dimension ref="B2:L45"/>
  <sheetViews>
    <sheetView workbookViewId="0">
      <selection activeCell="K2" sqref="K2:L2"/>
    </sheetView>
  </sheetViews>
  <sheetFormatPr defaultRowHeight="15" x14ac:dyDescent="0.25"/>
  <cols>
    <col min="2" max="2" width="31.85546875" customWidth="1"/>
    <col min="6" max="6" width="42.140625" customWidth="1"/>
    <col min="7" max="7" width="13.140625" customWidth="1"/>
    <col min="8" max="8" width="11.42578125" customWidth="1"/>
    <col min="10" max="10" width="39" customWidth="1"/>
    <col min="11" max="11" width="12" customWidth="1"/>
    <col min="12" max="12" width="11.5703125" customWidth="1"/>
  </cols>
  <sheetData>
    <row r="2" spans="2:12" x14ac:dyDescent="0.25">
      <c r="B2" s="1" t="s">
        <v>0</v>
      </c>
      <c r="C2" s="2">
        <v>2024</v>
      </c>
      <c r="D2" s="2">
        <v>2025</v>
      </c>
      <c r="G2" s="2">
        <v>2024</v>
      </c>
      <c r="H2" s="2">
        <v>2025</v>
      </c>
      <c r="K2" s="2">
        <v>2024</v>
      </c>
      <c r="L2" s="2">
        <v>2025</v>
      </c>
    </row>
    <row r="3" spans="2:12" x14ac:dyDescent="0.25">
      <c r="B3" s="3" t="s">
        <v>1</v>
      </c>
      <c r="C3" s="4"/>
      <c r="D3" s="4"/>
      <c r="F3" s="3" t="s">
        <v>15</v>
      </c>
      <c r="G3" s="9"/>
      <c r="H3" s="9"/>
      <c r="J3" s="3" t="s">
        <v>41</v>
      </c>
      <c r="K3" s="9"/>
      <c r="L3" s="9"/>
    </row>
    <row r="4" spans="2:12" x14ac:dyDescent="0.25">
      <c r="B4" s="5" t="s">
        <v>2</v>
      </c>
      <c r="C4" s="6">
        <v>56</v>
      </c>
      <c r="D4" s="6">
        <v>222</v>
      </c>
      <c r="F4" s="5" t="s">
        <v>16</v>
      </c>
      <c r="G4" s="6">
        <v>3356</v>
      </c>
      <c r="H4" s="6">
        <v>1725</v>
      </c>
      <c r="J4" s="5" t="s">
        <v>42</v>
      </c>
      <c r="K4" s="6">
        <v>-4561</v>
      </c>
      <c r="L4" s="6">
        <v>-4343</v>
      </c>
    </row>
    <row r="5" spans="2:12" x14ac:dyDescent="0.25">
      <c r="B5" s="5" t="s">
        <v>3</v>
      </c>
      <c r="C5" s="6">
        <v>635</v>
      </c>
      <c r="D5" s="6">
        <v>602</v>
      </c>
      <c r="F5" s="5" t="s">
        <v>17</v>
      </c>
      <c r="G5" s="6">
        <v>357</v>
      </c>
      <c r="H5" s="6">
        <v>421</v>
      </c>
      <c r="J5" s="5" t="s">
        <v>43</v>
      </c>
      <c r="K5" s="6">
        <v>429</v>
      </c>
      <c r="L5" s="6">
        <v>425</v>
      </c>
    </row>
    <row r="6" spans="2:12" x14ac:dyDescent="0.25">
      <c r="B6" s="7" t="s">
        <v>4</v>
      </c>
      <c r="C6" s="8">
        <v>-579</v>
      </c>
      <c r="D6" s="8">
        <v>-380</v>
      </c>
      <c r="F6" s="5" t="s">
        <v>18</v>
      </c>
      <c r="G6" s="6">
        <v>2000</v>
      </c>
      <c r="H6" s="6">
        <v>0</v>
      </c>
      <c r="J6" s="5" t="s">
        <v>44</v>
      </c>
      <c r="K6" s="6">
        <v>396</v>
      </c>
      <c r="L6" s="6">
        <v>395</v>
      </c>
    </row>
    <row r="7" spans="2:12" x14ac:dyDescent="0.25">
      <c r="B7" s="5" t="s">
        <v>5</v>
      </c>
      <c r="C7" s="6">
        <v>1256</v>
      </c>
      <c r="D7" s="6">
        <v>1060</v>
      </c>
      <c r="F7" s="5" t="s">
        <v>19</v>
      </c>
      <c r="G7" s="6">
        <v>12</v>
      </c>
      <c r="H7" s="6">
        <v>52</v>
      </c>
      <c r="J7" s="5" t="s">
        <v>45</v>
      </c>
      <c r="K7" s="6">
        <v>-64</v>
      </c>
      <c r="L7" s="6">
        <v>5</v>
      </c>
    </row>
    <row r="8" spans="2:12" x14ac:dyDescent="0.25">
      <c r="B8" s="5" t="s">
        <v>6</v>
      </c>
      <c r="C8" s="6">
        <v>630</v>
      </c>
      <c r="D8" s="6">
        <v>958</v>
      </c>
      <c r="F8" s="5" t="s">
        <v>20</v>
      </c>
      <c r="G8" s="6">
        <v>112</v>
      </c>
      <c r="H8" s="6">
        <v>88</v>
      </c>
      <c r="J8" s="5" t="s">
        <v>46</v>
      </c>
      <c r="K8" s="6">
        <v>132</v>
      </c>
      <c r="L8" s="6">
        <v>110</v>
      </c>
    </row>
    <row r="9" spans="2:12" x14ac:dyDescent="0.25">
      <c r="B9" s="5" t="s">
        <v>7</v>
      </c>
      <c r="C9" s="6">
        <v>2076</v>
      </c>
      <c r="D9" s="6">
        <v>1774</v>
      </c>
      <c r="F9" s="5" t="s">
        <v>21</v>
      </c>
      <c r="G9" s="6">
        <v>72</v>
      </c>
      <c r="H9" s="6">
        <v>99</v>
      </c>
      <c r="J9" s="5" t="s">
        <v>47</v>
      </c>
      <c r="K9" s="6">
        <v>-23</v>
      </c>
      <c r="L9" s="6">
        <v>-16</v>
      </c>
    </row>
    <row r="10" spans="2:12" x14ac:dyDescent="0.25">
      <c r="B10" s="5" t="s">
        <v>8</v>
      </c>
      <c r="C10" s="6">
        <v>83</v>
      </c>
      <c r="D10" s="6">
        <v>137</v>
      </c>
      <c r="F10" s="7" t="s">
        <v>22</v>
      </c>
      <c r="G10" s="8">
        <v>5909</v>
      </c>
      <c r="H10" s="8">
        <v>2385</v>
      </c>
      <c r="J10" s="5" t="s">
        <v>48</v>
      </c>
      <c r="K10" s="6">
        <v>-72</v>
      </c>
      <c r="L10" s="6">
        <v>-27</v>
      </c>
    </row>
    <row r="11" spans="2:12" x14ac:dyDescent="0.25">
      <c r="B11" s="7" t="s">
        <v>9</v>
      </c>
      <c r="C11" s="8">
        <v>-4458</v>
      </c>
      <c r="D11" s="8">
        <v>-4035</v>
      </c>
      <c r="F11" s="5" t="s">
        <v>23</v>
      </c>
      <c r="G11" s="6">
        <v>58</v>
      </c>
      <c r="H11" s="6">
        <v>66</v>
      </c>
      <c r="J11" s="5" t="s">
        <v>49</v>
      </c>
      <c r="K11" s="6">
        <v>21</v>
      </c>
      <c r="L11" s="6">
        <v>-102</v>
      </c>
    </row>
    <row r="12" spans="2:12" x14ac:dyDescent="0.25">
      <c r="B12" s="5" t="s">
        <v>10</v>
      </c>
      <c r="C12" s="6">
        <v>405</v>
      </c>
      <c r="D12" s="6">
        <v>405</v>
      </c>
      <c r="F12" s="5" t="s">
        <v>24</v>
      </c>
      <c r="G12" s="6">
        <v>322</v>
      </c>
      <c r="H12" s="6">
        <v>211</v>
      </c>
      <c r="J12" s="7" t="s">
        <v>50</v>
      </c>
      <c r="K12" s="8">
        <v>-3742</v>
      </c>
      <c r="L12" s="8">
        <v>-3553</v>
      </c>
    </row>
    <row r="13" spans="2:12" x14ac:dyDescent="0.25">
      <c r="B13" s="5" t="s">
        <v>11</v>
      </c>
      <c r="C13" s="6">
        <v>302</v>
      </c>
      <c r="D13" s="6">
        <v>173</v>
      </c>
      <c r="F13" s="5" t="s">
        <v>25</v>
      </c>
      <c r="G13" s="6">
        <v>1588</v>
      </c>
      <c r="H13" s="6">
        <v>1174</v>
      </c>
      <c r="J13" s="5"/>
      <c r="K13" s="6"/>
      <c r="L13" s="6"/>
    </row>
    <row r="14" spans="2:12" x14ac:dyDescent="0.25">
      <c r="B14" s="5" t="s">
        <v>12</v>
      </c>
      <c r="C14" s="6">
        <v>-4561</v>
      </c>
      <c r="D14" s="6">
        <v>-4267</v>
      </c>
      <c r="F14" s="7" t="s">
        <v>26</v>
      </c>
      <c r="G14" s="8">
        <v>1968</v>
      </c>
      <c r="H14" s="8">
        <v>1451</v>
      </c>
      <c r="J14" s="5" t="s">
        <v>51</v>
      </c>
      <c r="K14" s="6">
        <v>-6</v>
      </c>
      <c r="L14" s="6">
        <v>-72</v>
      </c>
    </row>
    <row r="15" spans="2:12" x14ac:dyDescent="0.25">
      <c r="B15" s="5" t="s">
        <v>13</v>
      </c>
      <c r="C15" s="6">
        <v>0</v>
      </c>
      <c r="D15" s="6">
        <v>76</v>
      </c>
      <c r="F15" s="7" t="s">
        <v>27</v>
      </c>
      <c r="G15" s="8">
        <v>7877</v>
      </c>
      <c r="H15" s="8">
        <v>3836</v>
      </c>
      <c r="J15" s="5" t="s">
        <v>52</v>
      </c>
      <c r="K15" s="6">
        <v>1503</v>
      </c>
      <c r="L15" s="6">
        <v>2000</v>
      </c>
    </row>
    <row r="16" spans="2:12" x14ac:dyDescent="0.25">
      <c r="B16" s="7" t="s">
        <v>14</v>
      </c>
      <c r="C16" s="8">
        <v>-4561</v>
      </c>
      <c r="D16" s="8">
        <v>-4343</v>
      </c>
      <c r="F16" s="5"/>
      <c r="G16" s="6"/>
      <c r="H16" s="6"/>
      <c r="J16" s="5" t="s">
        <v>53</v>
      </c>
      <c r="K16" s="6">
        <v>-60</v>
      </c>
      <c r="L16" s="6">
        <v>-19</v>
      </c>
    </row>
    <row r="17" spans="2:12" x14ac:dyDescent="0.25">
      <c r="B17" s="5"/>
      <c r="C17" s="6"/>
      <c r="D17" s="6"/>
      <c r="F17" s="5" t="s">
        <v>28</v>
      </c>
      <c r="G17" s="6">
        <v>146</v>
      </c>
      <c r="H17" s="6">
        <v>99</v>
      </c>
      <c r="J17" s="5" t="s">
        <v>54</v>
      </c>
      <c r="K17" s="6">
        <v>0</v>
      </c>
      <c r="L17" s="6">
        <v>8</v>
      </c>
    </row>
    <row r="18" spans="2:12" x14ac:dyDescent="0.25">
      <c r="F18" s="5" t="s">
        <v>29</v>
      </c>
      <c r="G18" s="6">
        <v>256</v>
      </c>
      <c r="H18" s="6">
        <v>164</v>
      </c>
      <c r="J18" s="7" t="s">
        <v>55</v>
      </c>
      <c r="K18" s="8">
        <v>1437</v>
      </c>
      <c r="L18" s="8">
        <v>1917</v>
      </c>
    </row>
    <row r="19" spans="2:12" x14ac:dyDescent="0.25">
      <c r="F19" s="5" t="s">
        <v>30</v>
      </c>
      <c r="G19" s="6">
        <v>169</v>
      </c>
      <c r="H19" s="6">
        <v>212</v>
      </c>
      <c r="J19" s="5"/>
      <c r="K19" s="6"/>
      <c r="L19" s="6"/>
    </row>
    <row r="20" spans="2:12" x14ac:dyDescent="0.25">
      <c r="F20" s="5" t="s">
        <v>31</v>
      </c>
      <c r="G20" s="6">
        <v>33</v>
      </c>
      <c r="H20" s="6">
        <v>70</v>
      </c>
      <c r="J20" s="5" t="s">
        <v>56</v>
      </c>
      <c r="K20" s="6">
        <v>1650</v>
      </c>
      <c r="L20" s="6">
        <v>0</v>
      </c>
    </row>
    <row r="21" spans="2:12" x14ac:dyDescent="0.25">
      <c r="F21" s="7" t="s">
        <v>32</v>
      </c>
      <c r="G21" s="8">
        <v>604</v>
      </c>
      <c r="H21" s="8">
        <v>545</v>
      </c>
      <c r="J21" s="5" t="s">
        <v>57</v>
      </c>
      <c r="K21" s="6">
        <v>0</v>
      </c>
      <c r="L21" s="6">
        <v>5</v>
      </c>
    </row>
    <row r="22" spans="2:12" x14ac:dyDescent="0.25">
      <c r="F22" s="5" t="s">
        <v>33</v>
      </c>
      <c r="G22" s="6">
        <v>438</v>
      </c>
      <c r="H22" s="6">
        <v>289</v>
      </c>
      <c r="J22" s="7" t="s">
        <v>58</v>
      </c>
      <c r="K22" s="8">
        <v>1650</v>
      </c>
      <c r="L22" s="8">
        <v>5</v>
      </c>
    </row>
    <row r="23" spans="2:12" x14ac:dyDescent="0.25">
      <c r="F23" s="5" t="s">
        <v>34</v>
      </c>
      <c r="G23" s="6">
        <v>5352</v>
      </c>
      <c r="H23" s="6">
        <v>5747</v>
      </c>
      <c r="J23" s="5"/>
      <c r="K23" s="6"/>
      <c r="L23" s="6"/>
    </row>
    <row r="24" spans="2:12" x14ac:dyDescent="0.25">
      <c r="F24" s="7" t="s">
        <v>35</v>
      </c>
      <c r="G24" s="8">
        <v>5790</v>
      </c>
      <c r="H24" s="8">
        <v>6036</v>
      </c>
      <c r="J24" s="7" t="s">
        <v>59</v>
      </c>
      <c r="K24" s="8">
        <v>-655</v>
      </c>
      <c r="L24" s="8">
        <v>-1631</v>
      </c>
    </row>
    <row r="25" spans="2:12" x14ac:dyDescent="0.25">
      <c r="F25" s="7" t="s">
        <v>36</v>
      </c>
      <c r="G25" s="8">
        <v>6394</v>
      </c>
      <c r="H25" s="8">
        <v>6581</v>
      </c>
      <c r="J25" s="5" t="s">
        <v>60</v>
      </c>
      <c r="K25" s="6">
        <v>4011</v>
      </c>
      <c r="L25" s="6">
        <v>3356</v>
      </c>
    </row>
    <row r="26" spans="2:12" x14ac:dyDescent="0.25">
      <c r="F26" s="5" t="s">
        <v>37</v>
      </c>
      <c r="G26" s="6">
        <v>14669</v>
      </c>
      <c r="H26" s="6">
        <v>14784</v>
      </c>
      <c r="J26" s="7" t="s">
        <v>61</v>
      </c>
      <c r="K26" s="8">
        <v>3356</v>
      </c>
      <c r="L26" s="8">
        <v>1725</v>
      </c>
    </row>
    <row r="27" spans="2:12" x14ac:dyDescent="0.25">
      <c r="F27" s="5" t="s">
        <v>38</v>
      </c>
      <c r="G27" s="6">
        <v>-13186</v>
      </c>
      <c r="H27" s="6">
        <v>-17529</v>
      </c>
      <c r="J27" s="5"/>
      <c r="K27" s="6"/>
      <c r="L27" s="6"/>
    </row>
    <row r="28" spans="2:12" x14ac:dyDescent="0.25">
      <c r="F28" s="7" t="s">
        <v>39</v>
      </c>
      <c r="G28" s="8">
        <v>1483</v>
      </c>
      <c r="H28" s="8">
        <v>-2745</v>
      </c>
      <c r="J28" s="5"/>
      <c r="K28" s="6"/>
      <c r="L28" s="6"/>
    </row>
    <row r="29" spans="2:12" x14ac:dyDescent="0.25">
      <c r="F29" s="7" t="s">
        <v>40</v>
      </c>
      <c r="G29" s="8">
        <v>7877</v>
      </c>
      <c r="H29" s="8">
        <v>3836</v>
      </c>
      <c r="J29" s="5" t="s">
        <v>62</v>
      </c>
      <c r="K29" s="6">
        <v>14537</v>
      </c>
      <c r="L29" s="6">
        <v>14669</v>
      </c>
    </row>
    <row r="30" spans="2:12" x14ac:dyDescent="0.25">
      <c r="J30" s="5" t="s">
        <v>63</v>
      </c>
      <c r="K30" s="6">
        <v>-8625</v>
      </c>
      <c r="L30" s="6">
        <v>-13186</v>
      </c>
    </row>
    <row r="31" spans="2:12" x14ac:dyDescent="0.25">
      <c r="J31" s="5" t="s">
        <v>64</v>
      </c>
      <c r="K31" s="6">
        <v>1957</v>
      </c>
      <c r="L31" s="6">
        <v>1588</v>
      </c>
    </row>
    <row r="32" spans="2:12" x14ac:dyDescent="0.25">
      <c r="J32" s="5" t="s">
        <v>65</v>
      </c>
      <c r="K32" s="6">
        <v>0</v>
      </c>
      <c r="L32" s="6">
        <v>8</v>
      </c>
    </row>
    <row r="45" spans="2:4" x14ac:dyDescent="0.25">
      <c r="B45" s="5"/>
      <c r="C45" s="6"/>
      <c r="D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Statements</vt:lpstr>
      <vt:lpstr>Sheet1</vt:lpstr>
      <vt:lpstr>Fictional Co</vt:lpstr>
      <vt:lpstr>Source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Nhat</dc:creator>
  <cp:lastModifiedBy>Hoang Nhat</cp:lastModifiedBy>
  <dcterms:created xsi:type="dcterms:W3CDTF">2026-09-13T17:13:35Z</dcterms:created>
  <dcterms:modified xsi:type="dcterms:W3CDTF">2026-09-13T18:37:15Z</dcterms:modified>
</cp:coreProperties>
</file>